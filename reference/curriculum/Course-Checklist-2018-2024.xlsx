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Visayas-State-University-Files\Instruction\Academic Advising\"/>
    </mc:Choice>
  </mc:AlternateContent>
  <xr:revisionPtr revIDLastSave="0" documentId="13_ncr:1_{42DF1C5B-3735-4973-B28F-60ECC0F836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udent" sheetId="1" r:id="rId1"/>
  </sheets>
  <definedNames>
    <definedName name="_xlnm._FilterDatabase" localSheetId="0" hidden="1">Student!$A$8:$K$74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" i="1" l="1"/>
  <c r="I38" i="1"/>
  <c r="I61" i="1" l="1"/>
  <c r="I62" i="1"/>
  <c r="I60" i="1"/>
  <c r="I58" i="1"/>
  <c r="I55" i="1"/>
  <c r="I53" i="1"/>
  <c r="I56" i="1" s="1"/>
  <c r="I54" i="1"/>
  <c r="I52" i="1"/>
  <c r="I51" i="1"/>
  <c r="I50" i="1"/>
  <c r="I48" i="1"/>
  <c r="I47" i="1"/>
  <c r="I46" i="1"/>
  <c r="I45" i="1"/>
  <c r="I43" i="1"/>
  <c r="I42" i="1"/>
  <c r="I39" i="1"/>
  <c r="I37" i="1"/>
  <c r="I36" i="1"/>
  <c r="I35" i="1"/>
  <c r="I34" i="1"/>
  <c r="I32" i="1"/>
  <c r="I29" i="1"/>
  <c r="I30" i="1"/>
  <c r="I28" i="1"/>
  <c r="I27" i="1"/>
  <c r="I26" i="1"/>
  <c r="I25" i="1"/>
  <c r="I24" i="1"/>
  <c r="I21" i="1"/>
  <c r="I20" i="1"/>
  <c r="I19" i="1"/>
  <c r="I65" i="1"/>
  <c r="I64" i="1"/>
  <c r="I49" i="1"/>
  <c r="I41" i="1"/>
  <c r="I40" i="1"/>
  <c r="I33" i="1"/>
  <c r="I31" i="1"/>
  <c r="I23" i="1"/>
  <c r="I22" i="1"/>
  <c r="I18" i="1"/>
  <c r="I17" i="1"/>
  <c r="I16" i="1"/>
  <c r="I15" i="1"/>
  <c r="I14" i="1"/>
  <c r="I13" i="1"/>
  <c r="I12" i="1"/>
  <c r="I11" i="1"/>
  <c r="I10" i="1"/>
  <c r="I9" i="1"/>
  <c r="I57" i="1" l="1"/>
  <c r="F67" i="1" l="1"/>
  <c r="F68" i="1" s="1"/>
</calcChain>
</file>

<file path=xl/sharedStrings.xml><?xml version="1.0" encoding="utf-8"?>
<sst xmlns="http://schemas.openxmlformats.org/spreadsheetml/2006/main" count="308" uniqueCount="156">
  <si>
    <t>Course Checklist for:</t>
  </si>
  <si>
    <t>BACHELOR OF SCIENCE IN COMPUTER SCIENCE (BSCS)</t>
  </si>
  <si>
    <t>Name:</t>
  </si>
  <si>
    <t>Student No:</t>
  </si>
  <si>
    <t>Term</t>
  </si>
  <si>
    <t>Course No.</t>
  </si>
  <si>
    <t>Descriptive Title</t>
  </si>
  <si>
    <t>HOURS</t>
  </si>
  <si>
    <t>Units</t>
  </si>
  <si>
    <t>Prerequisite</t>
  </si>
  <si>
    <t>Complied</t>
  </si>
  <si>
    <t>Can Enroll</t>
  </si>
  <si>
    <t>Lec</t>
  </si>
  <si>
    <t>Lab</t>
  </si>
  <si>
    <t>1st</t>
  </si>
  <si>
    <t>Purposive Communication</t>
  </si>
  <si>
    <t>None</t>
  </si>
  <si>
    <t>CSci 11</t>
  </si>
  <si>
    <t>Introduction to Computing</t>
  </si>
  <si>
    <t>CSci 13</t>
  </si>
  <si>
    <t>Fundamentals of Programming</t>
  </si>
  <si>
    <t>CSci 15</t>
  </si>
  <si>
    <t>Pre-Calculus (Bridging Program for Calculus I)</t>
  </si>
  <si>
    <t>Humn 12n</t>
  </si>
  <si>
    <t>Math 11n</t>
  </si>
  <si>
    <t>Mathematics in the Modern World</t>
  </si>
  <si>
    <t>Understanding the Self</t>
  </si>
  <si>
    <t>PhEd 11</t>
  </si>
  <si>
    <t>Movement Enhancement</t>
  </si>
  <si>
    <t>NSTP 11</t>
  </si>
  <si>
    <t>National Service Training Program I</t>
  </si>
  <si>
    <t>Comm 11</t>
  </si>
  <si>
    <t>Reading Visual Arts</t>
  </si>
  <si>
    <t>ScSc 11n</t>
  </si>
  <si>
    <t>2nd</t>
  </si>
  <si>
    <t>CSci 102</t>
  </si>
  <si>
    <t>CSci 120</t>
  </si>
  <si>
    <t>CSci 122</t>
  </si>
  <si>
    <t>CSci 14</t>
  </si>
  <si>
    <t>Envi 11</t>
  </si>
  <si>
    <t>Humn 11</t>
  </si>
  <si>
    <t>CSci 16</t>
  </si>
  <si>
    <t>PhEd 12</t>
  </si>
  <si>
    <t>NSTP 12</t>
  </si>
  <si>
    <t>Discrete Structures I</t>
  </si>
  <si>
    <t>Object-oriented Programming</t>
  </si>
  <si>
    <t>Human Computer Interaction</t>
  </si>
  <si>
    <t>Intermediate Programming</t>
  </si>
  <si>
    <t>Environmental Science</t>
  </si>
  <si>
    <t>Art Appreciation</t>
  </si>
  <si>
    <t>Differential Calculus</t>
  </si>
  <si>
    <t>Fitness Exercises</t>
  </si>
  <si>
    <t>National Service Training Program II</t>
  </si>
  <si>
    <t>CSci 103</t>
  </si>
  <si>
    <t>Discrete Structures II</t>
  </si>
  <si>
    <t>CSci 150</t>
  </si>
  <si>
    <t>CSci 21c</t>
  </si>
  <si>
    <t>CSci 22n</t>
  </si>
  <si>
    <t>Entr 11</t>
  </si>
  <si>
    <t>Math 121</t>
  </si>
  <si>
    <t>ScSc 12</t>
  </si>
  <si>
    <t>PhEd 13</t>
  </si>
  <si>
    <t>Fundamentals of Database Systems</t>
  </si>
  <si>
    <t>Data Structures and Algorithms</t>
  </si>
  <si>
    <t>Information Management</t>
  </si>
  <si>
    <t>The Entrepreneurial Mind</t>
  </si>
  <si>
    <t>Calculus II</t>
  </si>
  <si>
    <t>Readings in Philippine History</t>
  </si>
  <si>
    <t>Physical Activities Towards Health and Fitness I</t>
  </si>
  <si>
    <t>CSci 152</t>
  </si>
  <si>
    <t>CSci 14, CSci 102</t>
  </si>
  <si>
    <t>CSci 23</t>
  </si>
  <si>
    <t>Applications Development and Emerging Technologies</t>
  </si>
  <si>
    <t>CSci 104</t>
  </si>
  <si>
    <t>CSci 121</t>
  </si>
  <si>
    <t>Math 131s</t>
  </si>
  <si>
    <t>CSci 151</t>
  </si>
  <si>
    <t>ScTS 11</t>
  </si>
  <si>
    <t>ScSc 13n</t>
  </si>
  <si>
    <t>PhEd 14</t>
  </si>
  <si>
    <t>Algorithms and Complexity</t>
  </si>
  <si>
    <t>Computer Organization &amp; Architecture</t>
  </si>
  <si>
    <t>Linear Algebra and Matrix Theory</t>
  </si>
  <si>
    <t>Event Driven Programming</t>
  </si>
  <si>
    <t>Science, Technology and Society</t>
  </si>
  <si>
    <t>The Contemporary World</t>
  </si>
  <si>
    <t>Physical Activities Towards Health and Fitness II</t>
  </si>
  <si>
    <t>CSci 14, CSci 120</t>
  </si>
  <si>
    <t>CSci 21, CSci 103</t>
  </si>
  <si>
    <t>CSci 11, CSci 13</t>
  </si>
  <si>
    <t>CSci 21</t>
  </si>
  <si>
    <t>CSci 107</t>
  </si>
  <si>
    <t>CSci 123</t>
  </si>
  <si>
    <t>CSci 135</t>
  </si>
  <si>
    <t>CSci 141</t>
  </si>
  <si>
    <t>CSci 153</t>
  </si>
  <si>
    <t>Humn 13n</t>
  </si>
  <si>
    <t>Philippine Pop Culture</t>
  </si>
  <si>
    <t>Automata Theory and Formal Languages</t>
  </si>
  <si>
    <t>Operating Systems</t>
  </si>
  <si>
    <t>Software Engineering I</t>
  </si>
  <si>
    <t>Intelligent Systems</t>
  </si>
  <si>
    <t>Data Mining</t>
  </si>
  <si>
    <t>Web Systems and Technologies</t>
  </si>
  <si>
    <t>CSci 122, CSci 14</t>
  </si>
  <si>
    <t>CSci 14, CSci 103</t>
  </si>
  <si>
    <t>CSci 14, CSci 22</t>
  </si>
  <si>
    <t>CSci 108</t>
  </si>
  <si>
    <t>CSci 136</t>
  </si>
  <si>
    <t>CSci 142</t>
  </si>
  <si>
    <t>CSci 126</t>
  </si>
  <si>
    <t>CSci 145</t>
  </si>
  <si>
    <t>CSci 198</t>
  </si>
  <si>
    <t>CSci 128</t>
  </si>
  <si>
    <t>Programming Languages</t>
  </si>
  <si>
    <t>Software Engineering II</t>
  </si>
  <si>
    <t>Graphics and Visual Computing</t>
  </si>
  <si>
    <t>Networks and Communications</t>
  </si>
  <si>
    <t>Platform Based Development</t>
  </si>
  <si>
    <t>Research Planning and Manuscript Preparation</t>
  </si>
  <si>
    <t>Information Assurance and Security</t>
  </si>
  <si>
    <t>Math 131s, CSci 14</t>
  </si>
  <si>
    <t>CSci 122, CSci 120</t>
  </si>
  <si>
    <t>Midyear</t>
  </si>
  <si>
    <t>CSci 200a</t>
  </si>
  <si>
    <t>Internship / On-the-Job-Training / Practicum</t>
  </si>
  <si>
    <t>CSci 193</t>
  </si>
  <si>
    <t>CSci 200</t>
  </si>
  <si>
    <t>CSci 143</t>
  </si>
  <si>
    <t>CSci 144</t>
  </si>
  <si>
    <t>CSci 154</t>
  </si>
  <si>
    <t>Social Issues and Professional Practice</t>
  </si>
  <si>
    <t>Undergraduate Thesis I</t>
  </si>
  <si>
    <t>Computational Science</t>
  </si>
  <si>
    <t>Parallel and Distributed Computing</t>
  </si>
  <si>
    <t>Quantitative Methods (incl. Modeling and Simulations)</t>
  </si>
  <si>
    <t>ScSc 16</t>
  </si>
  <si>
    <t>Phlo 11</t>
  </si>
  <si>
    <t>CSci 199</t>
  </si>
  <si>
    <t>Undergraduate Seminar</t>
  </si>
  <si>
    <t>Ethics</t>
  </si>
  <si>
    <t>Life and Works of Rizal</t>
  </si>
  <si>
    <t>CSci 126
(co-requisite)</t>
  </si>
  <si>
    <t>Yes</t>
  </si>
  <si>
    <t>No</t>
  </si>
  <si>
    <t>Will Enroll</t>
  </si>
  <si>
    <t>E-mail:</t>
  </si>
  <si>
    <t>Contact No:</t>
  </si>
  <si>
    <t>Remarks</t>
  </si>
  <si>
    <t>Current Total Units</t>
  </si>
  <si>
    <t>Year Level</t>
  </si>
  <si>
    <t>1st year</t>
  </si>
  <si>
    <t>2nd year</t>
  </si>
  <si>
    <t>3rd year</t>
  </si>
  <si>
    <t>4th year</t>
  </si>
  <si>
    <t>Graduating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</si>
</sst>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  <color rgb="FFA50021"/>
      </font>
      <fill>
        <patternFill>
          <bgColor rgb="FFFFCCCC"/>
        </patternFill>
      </fill>
    </dxf>
    <dxf>
      <font>
        <b/>
        <i val="0"/>
        <color rgb="FF000066"/>
      </font>
      <fill>
        <patternFill>
          <bgColor theme="4" tint="0.79998168889431442"/>
        </patternFill>
      </fill>
    </dxf>
    <dxf>
      <font>
        <b/>
        <i val="0"/>
        <color rgb="FF003300"/>
      </font>
      <fill>
        <patternFill>
          <bgColor rgb="FFCCFFCC"/>
        </patternFill>
      </fill>
    </dxf>
  </dxfs>
  <tableStyles count="0" defaultTableStyle="TableStyleMedium2" defaultPivotStyle="PivotStyleLight16"/>
  <colors>
    <mruColors>
      <color rgb="FFCCFFCC"/>
      <color rgb="FF003300"/>
      <color rgb="FF000066"/>
      <color rgb="FFFFCCCC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zoomScale="85" zoomScaleNormal="8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11" sqref="H11"/>
    </sheetView>
  </sheetViews>
  <sheetFormatPr defaultColWidth="9.109375" defaultRowHeight="13.8" x14ac:dyDescent="0.25"/>
  <cols>
    <col min="1" max="1" width="11.6640625" style="1" customWidth="1"/>
    <col min="2" max="2" width="12.44140625" style="4" bestFit="1" customWidth="1"/>
    <col min="3" max="3" width="45.33203125" style="4" bestFit="1" customWidth="1"/>
    <col min="4" max="4" width="4.6640625" style="4" bestFit="1" customWidth="1"/>
    <col min="5" max="5" width="4.88671875" style="4" bestFit="1" customWidth="1"/>
    <col min="6" max="6" width="6.33203125" style="4" bestFit="1" customWidth="1"/>
    <col min="7" max="7" width="13.44140625" style="5" customWidth="1"/>
    <col min="8" max="8" width="10.6640625" style="1" bestFit="1" customWidth="1"/>
    <col min="9" max="9" width="11.6640625" style="1" bestFit="1" customWidth="1"/>
    <col min="10" max="10" width="11.109375" style="1" bestFit="1" customWidth="1"/>
    <col min="11" max="16384" width="9.109375" style="1"/>
  </cols>
  <sheetData>
    <row r="1" spans="1:15" x14ac:dyDescent="0.25">
      <c r="A1" s="1" t="s">
        <v>0</v>
      </c>
    </row>
    <row r="2" spans="1:15" x14ac:dyDescent="0.25">
      <c r="A2" s="2" t="s">
        <v>1</v>
      </c>
      <c r="O2" s="2" t="s">
        <v>10</v>
      </c>
    </row>
    <row r="3" spans="1:15" x14ac:dyDescent="0.25">
      <c r="A3" s="1" t="s">
        <v>2</v>
      </c>
      <c r="G3" s="5" t="s">
        <v>146</v>
      </c>
      <c r="O3" s="1" t="s">
        <v>143</v>
      </c>
    </row>
    <row r="4" spans="1:15" x14ac:dyDescent="0.25">
      <c r="A4" s="2"/>
      <c r="G4" s="2"/>
      <c r="O4" s="1" t="s">
        <v>144</v>
      </c>
    </row>
    <row r="5" spans="1:15" x14ac:dyDescent="0.25">
      <c r="A5" s="1" t="s">
        <v>3</v>
      </c>
      <c r="G5" s="5" t="s">
        <v>147</v>
      </c>
    </row>
    <row r="6" spans="1:15" x14ac:dyDescent="0.25">
      <c r="A6" s="2"/>
      <c r="G6" s="8"/>
    </row>
    <row r="7" spans="1:15" x14ac:dyDescent="0.25">
      <c r="A7" s="2"/>
      <c r="B7" s="6"/>
      <c r="C7" s="6"/>
      <c r="D7" s="12" t="s">
        <v>7</v>
      </c>
      <c r="E7" s="12"/>
      <c r="F7" s="6"/>
      <c r="G7" s="7"/>
      <c r="H7" s="2"/>
      <c r="I7" s="2"/>
    </row>
    <row r="8" spans="1:15" x14ac:dyDescent="0.25">
      <c r="A8" s="6" t="s">
        <v>4</v>
      </c>
      <c r="B8" s="6" t="s">
        <v>5</v>
      </c>
      <c r="C8" s="6" t="s">
        <v>6</v>
      </c>
      <c r="D8" s="6" t="s">
        <v>12</v>
      </c>
      <c r="E8" s="6" t="s">
        <v>13</v>
      </c>
      <c r="F8" s="6" t="s">
        <v>8</v>
      </c>
      <c r="G8" s="7" t="s">
        <v>9</v>
      </c>
      <c r="H8" s="6" t="s">
        <v>10</v>
      </c>
      <c r="I8" s="6" t="s">
        <v>11</v>
      </c>
      <c r="J8" s="6" t="s">
        <v>145</v>
      </c>
      <c r="K8" s="6" t="s">
        <v>148</v>
      </c>
    </row>
    <row r="9" spans="1:15" x14ac:dyDescent="0.25">
      <c r="A9" s="1" t="s">
        <v>14</v>
      </c>
      <c r="B9" s="4" t="s">
        <v>31</v>
      </c>
      <c r="C9" s="4" t="s">
        <v>15</v>
      </c>
      <c r="D9" s="4">
        <v>3</v>
      </c>
      <c r="F9" s="4">
        <v>3</v>
      </c>
      <c r="G9" s="5" t="s">
        <v>16</v>
      </c>
      <c r="H9" s="3" t="s">
        <v>144</v>
      </c>
      <c r="I9" s="3" t="str">
        <f>IF(H9="Yes", "Finished", "Yes")</f>
        <v>Yes</v>
      </c>
      <c r="J9" s="3"/>
    </row>
    <row r="10" spans="1:15" x14ac:dyDescent="0.25">
      <c r="A10" s="1" t="s">
        <v>14</v>
      </c>
      <c r="B10" s="4" t="s">
        <v>17</v>
      </c>
      <c r="C10" s="4" t="s">
        <v>18</v>
      </c>
      <c r="D10" s="4">
        <v>2</v>
      </c>
      <c r="E10" s="4">
        <v>3</v>
      </c>
      <c r="F10" s="4">
        <v>3</v>
      </c>
      <c r="G10" s="5" t="s">
        <v>16</v>
      </c>
      <c r="H10" s="3" t="s">
        <v>144</v>
      </c>
      <c r="I10" s="3" t="str">
        <f t="shared" ref="I10:I18" si="0">IF(H10="Yes", "Finished", "Yes")</f>
        <v>Yes</v>
      </c>
      <c r="J10" s="3"/>
    </row>
    <row r="11" spans="1:15" x14ac:dyDescent="0.25">
      <c r="A11" s="1" t="s">
        <v>14</v>
      </c>
      <c r="B11" s="4" t="s">
        <v>19</v>
      </c>
      <c r="C11" s="4" t="s">
        <v>20</v>
      </c>
      <c r="D11" s="4">
        <v>2</v>
      </c>
      <c r="E11" s="4">
        <v>3</v>
      </c>
      <c r="F11" s="4">
        <v>3</v>
      </c>
      <c r="G11" s="5" t="s">
        <v>16</v>
      </c>
      <c r="H11" s="3" t="s">
        <v>144</v>
      </c>
      <c r="I11" s="3" t="str">
        <f t="shared" si="0"/>
        <v>Yes</v>
      </c>
      <c r="J11" s="3"/>
    </row>
    <row r="12" spans="1:15" x14ac:dyDescent="0.25">
      <c r="A12" s="1" t="s">
        <v>14</v>
      </c>
      <c r="B12" s="4" t="s">
        <v>21</v>
      </c>
      <c r="C12" s="4" t="s">
        <v>22</v>
      </c>
      <c r="D12" s="4">
        <v>3</v>
      </c>
      <c r="F12" s="4">
        <v>3</v>
      </c>
      <c r="G12" s="5" t="s">
        <v>16</v>
      </c>
      <c r="H12" s="3" t="s">
        <v>144</v>
      </c>
      <c r="I12" s="3" t="str">
        <f t="shared" si="0"/>
        <v>Yes</v>
      </c>
      <c r="J12" s="3"/>
    </row>
    <row r="13" spans="1:15" x14ac:dyDescent="0.25">
      <c r="B13" s="4" t="s">
        <v>23</v>
      </c>
      <c r="C13" s="4" t="s">
        <v>32</v>
      </c>
      <c r="D13" s="4">
        <v>3</v>
      </c>
      <c r="F13" s="4">
        <v>3</v>
      </c>
      <c r="G13" s="5" t="s">
        <v>16</v>
      </c>
      <c r="H13" s="3" t="s">
        <v>144</v>
      </c>
      <c r="I13" s="3" t="str">
        <f t="shared" si="0"/>
        <v>Yes</v>
      </c>
      <c r="J13" s="3"/>
    </row>
    <row r="14" spans="1:15" x14ac:dyDescent="0.25">
      <c r="B14" s="4" t="s">
        <v>24</v>
      </c>
      <c r="C14" s="4" t="s">
        <v>25</v>
      </c>
      <c r="D14" s="4">
        <v>3</v>
      </c>
      <c r="F14" s="4">
        <v>3</v>
      </c>
      <c r="G14" s="5" t="s">
        <v>16</v>
      </c>
      <c r="H14" s="3" t="s">
        <v>144</v>
      </c>
      <c r="I14" s="3" t="str">
        <f t="shared" si="0"/>
        <v>Yes</v>
      </c>
      <c r="J14" s="3"/>
    </row>
    <row r="15" spans="1:15" x14ac:dyDescent="0.25">
      <c r="B15" s="4" t="s">
        <v>33</v>
      </c>
      <c r="C15" s="4" t="s">
        <v>26</v>
      </c>
      <c r="D15" s="4">
        <v>3</v>
      </c>
      <c r="F15" s="4">
        <v>3</v>
      </c>
      <c r="G15" s="5" t="s">
        <v>16</v>
      </c>
      <c r="H15" s="3" t="s">
        <v>144</v>
      </c>
      <c r="I15" s="3" t="str">
        <f t="shared" si="0"/>
        <v>Yes</v>
      </c>
      <c r="J15" s="3"/>
    </row>
    <row r="16" spans="1:15" x14ac:dyDescent="0.25">
      <c r="A16" s="1" t="s">
        <v>14</v>
      </c>
      <c r="B16" s="4" t="s">
        <v>27</v>
      </c>
      <c r="C16" s="4" t="s">
        <v>28</v>
      </c>
      <c r="D16" s="4">
        <v>2</v>
      </c>
      <c r="F16" s="4">
        <v>2</v>
      </c>
      <c r="G16" s="5" t="s">
        <v>16</v>
      </c>
      <c r="H16" s="3" t="s">
        <v>144</v>
      </c>
      <c r="I16" s="3" t="str">
        <f t="shared" si="0"/>
        <v>Yes</v>
      </c>
      <c r="J16" s="3"/>
    </row>
    <row r="17" spans="1:10" x14ac:dyDescent="0.25">
      <c r="A17" s="1" t="s">
        <v>14</v>
      </c>
      <c r="B17" s="4" t="s">
        <v>29</v>
      </c>
      <c r="C17" s="4" t="s">
        <v>30</v>
      </c>
      <c r="D17" s="4">
        <v>1</v>
      </c>
      <c r="F17" s="4">
        <v>3</v>
      </c>
      <c r="G17" s="5" t="s">
        <v>16</v>
      </c>
      <c r="H17" s="3" t="s">
        <v>144</v>
      </c>
      <c r="I17" s="3" t="str">
        <f t="shared" si="0"/>
        <v>Yes</v>
      </c>
      <c r="J17" s="3"/>
    </row>
    <row r="18" spans="1:10" x14ac:dyDescent="0.25">
      <c r="A18" s="1" t="s">
        <v>34</v>
      </c>
      <c r="B18" s="4" t="s">
        <v>35</v>
      </c>
      <c r="C18" s="4" t="s">
        <v>44</v>
      </c>
      <c r="D18" s="4">
        <v>3</v>
      </c>
      <c r="F18" s="4">
        <v>3</v>
      </c>
      <c r="G18" s="5" t="s">
        <v>16</v>
      </c>
      <c r="H18" s="3" t="s">
        <v>144</v>
      </c>
      <c r="I18" s="3" t="str">
        <f t="shared" si="0"/>
        <v>Yes</v>
      </c>
      <c r="J18" s="3"/>
    </row>
    <row r="19" spans="1:10" x14ac:dyDescent="0.25">
      <c r="A19" s="1" t="s">
        <v>34</v>
      </c>
      <c r="B19" s="4" t="s">
        <v>36</v>
      </c>
      <c r="C19" s="4" t="s">
        <v>45</v>
      </c>
      <c r="D19" s="4">
        <v>2</v>
      </c>
      <c r="E19" s="4">
        <v>3</v>
      </c>
      <c r="F19" s="4">
        <v>3</v>
      </c>
      <c r="G19" s="5" t="s">
        <v>19</v>
      </c>
      <c r="H19" s="3" t="s">
        <v>144</v>
      </c>
      <c r="I19" s="3" t="str">
        <f>IF(H19="Yes", "Finished", IF(H11="Yes", "Yes", "No"))</f>
        <v>No</v>
      </c>
      <c r="J19" s="3"/>
    </row>
    <row r="20" spans="1:10" x14ac:dyDescent="0.25">
      <c r="A20" s="1" t="s">
        <v>34</v>
      </c>
      <c r="B20" s="4" t="s">
        <v>37</v>
      </c>
      <c r="C20" s="4" t="s">
        <v>46</v>
      </c>
      <c r="D20" s="4">
        <v>3</v>
      </c>
      <c r="F20" s="4">
        <v>3</v>
      </c>
      <c r="G20" s="5" t="s">
        <v>17</v>
      </c>
      <c r="H20" s="3" t="s">
        <v>144</v>
      </c>
      <c r="I20" s="3" t="str">
        <f>IF(H20="Yes", "Finished", IF(H10="Yes", "Yes", "No"))</f>
        <v>No</v>
      </c>
      <c r="J20" s="3"/>
    </row>
    <row r="21" spans="1:10" x14ac:dyDescent="0.25">
      <c r="A21" s="1" t="s">
        <v>34</v>
      </c>
      <c r="B21" s="4" t="s">
        <v>38</v>
      </c>
      <c r="C21" s="4" t="s">
        <v>47</v>
      </c>
      <c r="D21" s="4">
        <v>2</v>
      </c>
      <c r="E21" s="4">
        <v>3</v>
      </c>
      <c r="F21" s="4">
        <v>3</v>
      </c>
      <c r="G21" s="5" t="s">
        <v>19</v>
      </c>
      <c r="H21" s="3" t="s">
        <v>144</v>
      </c>
      <c r="I21" s="3" t="str">
        <f>IF(H21="Yes", "Finished", IF(H11="Yes", "Yes", "No"))</f>
        <v>No</v>
      </c>
      <c r="J21" s="3"/>
    </row>
    <row r="22" spans="1:10" x14ac:dyDescent="0.25">
      <c r="B22" s="4" t="s">
        <v>39</v>
      </c>
      <c r="C22" s="4" t="s">
        <v>48</v>
      </c>
      <c r="D22" s="4">
        <v>3</v>
      </c>
      <c r="F22" s="4">
        <v>3</v>
      </c>
      <c r="G22" s="5" t="s">
        <v>16</v>
      </c>
      <c r="H22" s="3" t="s">
        <v>144</v>
      </c>
      <c r="I22" s="3" t="str">
        <f t="shared" ref="I22:I23" si="1">IF(H22="Yes", "Finished", "Yes")</f>
        <v>Yes</v>
      </c>
      <c r="J22" s="3"/>
    </row>
    <row r="23" spans="1:10" x14ac:dyDescent="0.25">
      <c r="B23" s="4" t="s">
        <v>40</v>
      </c>
      <c r="C23" s="4" t="s">
        <v>49</v>
      </c>
      <c r="D23" s="4">
        <v>3</v>
      </c>
      <c r="F23" s="4">
        <v>3</v>
      </c>
      <c r="G23" s="5" t="s">
        <v>16</v>
      </c>
      <c r="H23" s="3" t="s">
        <v>144</v>
      </c>
      <c r="I23" s="3" t="str">
        <f t="shared" si="1"/>
        <v>Yes</v>
      </c>
      <c r="J23" s="3"/>
    </row>
    <row r="24" spans="1:10" x14ac:dyDescent="0.25">
      <c r="A24" s="1" t="s">
        <v>34</v>
      </c>
      <c r="B24" s="4" t="s">
        <v>41</v>
      </c>
      <c r="C24" s="4" t="s">
        <v>50</v>
      </c>
      <c r="D24" s="4">
        <v>3</v>
      </c>
      <c r="F24" s="4">
        <v>3</v>
      </c>
      <c r="G24" s="5" t="s">
        <v>21</v>
      </c>
      <c r="H24" s="3" t="s">
        <v>144</v>
      </c>
      <c r="I24" s="3" t="str">
        <f>IF(H24="Yes", "Finished", IF(H12="Yes", "Yes", "No"))</f>
        <v>No</v>
      </c>
      <c r="J24" s="3"/>
    </row>
    <row r="25" spans="1:10" x14ac:dyDescent="0.25">
      <c r="A25" s="1" t="s">
        <v>34</v>
      </c>
      <c r="B25" s="4" t="s">
        <v>42</v>
      </c>
      <c r="C25" s="4" t="s">
        <v>51</v>
      </c>
      <c r="D25" s="4">
        <v>2</v>
      </c>
      <c r="F25" s="4">
        <v>2</v>
      </c>
      <c r="G25" s="5" t="s">
        <v>27</v>
      </c>
      <c r="H25" s="3" t="s">
        <v>144</v>
      </c>
      <c r="I25" s="3" t="str">
        <f>IF(H25="Yes", "Finished", IF(H16="Yes", "Yes", "No"))</f>
        <v>No</v>
      </c>
      <c r="J25" s="3"/>
    </row>
    <row r="26" spans="1:10" x14ac:dyDescent="0.25">
      <c r="A26" s="1" t="s">
        <v>34</v>
      </c>
      <c r="B26" s="4" t="s">
        <v>43</v>
      </c>
      <c r="C26" s="4" t="s">
        <v>52</v>
      </c>
      <c r="D26" s="4">
        <v>1</v>
      </c>
      <c r="F26" s="4">
        <v>3</v>
      </c>
      <c r="G26" s="5" t="s">
        <v>29</v>
      </c>
      <c r="H26" s="3" t="s">
        <v>144</v>
      </c>
      <c r="I26" s="3" t="str">
        <f>IF(H26="Yes", "Finished", IF(H17="Yes", "Yes", "No"))</f>
        <v>No</v>
      </c>
      <c r="J26" s="3"/>
    </row>
    <row r="27" spans="1:10" x14ac:dyDescent="0.25">
      <c r="A27" s="1" t="s">
        <v>14</v>
      </c>
      <c r="B27" s="4" t="s">
        <v>53</v>
      </c>
      <c r="C27" s="4" t="s">
        <v>54</v>
      </c>
      <c r="D27" s="4">
        <v>3</v>
      </c>
      <c r="F27" s="4">
        <v>3</v>
      </c>
      <c r="G27" s="5" t="s">
        <v>35</v>
      </c>
      <c r="H27" s="3" t="s">
        <v>144</v>
      </c>
      <c r="I27" s="3" t="str">
        <f>IF(H27="Yes", "Finished", IF(H18="Yes", "Yes", "No"))</f>
        <v>No</v>
      </c>
      <c r="J27" s="3"/>
    </row>
    <row r="28" spans="1:10" ht="27.6" x14ac:dyDescent="0.25">
      <c r="A28" s="1" t="s">
        <v>14</v>
      </c>
      <c r="B28" s="4" t="s">
        <v>55</v>
      </c>
      <c r="C28" s="4" t="s">
        <v>62</v>
      </c>
      <c r="D28" s="4">
        <v>2</v>
      </c>
      <c r="E28" s="4">
        <v>3</v>
      </c>
      <c r="F28" s="4">
        <v>3</v>
      </c>
      <c r="G28" s="5" t="s">
        <v>70</v>
      </c>
      <c r="H28" s="3" t="s">
        <v>144</v>
      </c>
      <c r="I28" s="3" t="str">
        <f>IF(H28="Yes", "Finished", IF(AND($H$21="Yes",$H$18="Yes"), "Yes", "No"))</f>
        <v>No</v>
      </c>
      <c r="J28" s="3"/>
    </row>
    <row r="29" spans="1:10" ht="27.6" x14ac:dyDescent="0.25">
      <c r="A29" s="1" t="s">
        <v>14</v>
      </c>
      <c r="B29" s="4" t="s">
        <v>56</v>
      </c>
      <c r="C29" s="4" t="s">
        <v>63</v>
      </c>
      <c r="D29" s="4">
        <v>2</v>
      </c>
      <c r="E29" s="4">
        <v>3</v>
      </c>
      <c r="F29" s="4">
        <v>3</v>
      </c>
      <c r="G29" s="5" t="s">
        <v>70</v>
      </c>
      <c r="H29" s="3" t="s">
        <v>144</v>
      </c>
      <c r="I29" s="3" t="str">
        <f t="shared" ref="I29:I30" si="2">IF(H29="Yes", "Finished", IF(AND($H$21="Yes",$H$18="Yes"), "Yes", "No"))</f>
        <v>No</v>
      </c>
      <c r="J29" s="3"/>
    </row>
    <row r="30" spans="1:10" ht="27.6" x14ac:dyDescent="0.25">
      <c r="A30" s="1" t="s">
        <v>14</v>
      </c>
      <c r="B30" s="4" t="s">
        <v>57</v>
      </c>
      <c r="C30" s="4" t="s">
        <v>64</v>
      </c>
      <c r="D30" s="4">
        <v>2</v>
      </c>
      <c r="E30" s="4">
        <v>3</v>
      </c>
      <c r="F30" s="4">
        <v>3</v>
      </c>
      <c r="G30" s="5" t="s">
        <v>70</v>
      </c>
      <c r="H30" s="3" t="s">
        <v>144</v>
      </c>
      <c r="I30" s="3" t="str">
        <f t="shared" si="2"/>
        <v>No</v>
      </c>
      <c r="J30" s="3"/>
    </row>
    <row r="31" spans="1:10" x14ac:dyDescent="0.25">
      <c r="B31" s="4" t="s">
        <v>58</v>
      </c>
      <c r="C31" s="4" t="s">
        <v>65</v>
      </c>
      <c r="D31" s="4">
        <v>3</v>
      </c>
      <c r="F31" s="4">
        <v>3</v>
      </c>
      <c r="G31" s="5" t="s">
        <v>16</v>
      </c>
      <c r="H31" s="3" t="s">
        <v>144</v>
      </c>
      <c r="I31" s="3" t="str">
        <f>IF(H31="Yes", "Finished", "Yes")</f>
        <v>Yes</v>
      </c>
      <c r="J31" s="3"/>
    </row>
    <row r="32" spans="1:10" x14ac:dyDescent="0.25">
      <c r="A32" s="1" t="s">
        <v>14</v>
      </c>
      <c r="B32" s="4" t="s">
        <v>59</v>
      </c>
      <c r="C32" s="4" t="s">
        <v>66</v>
      </c>
      <c r="D32" s="4">
        <v>3</v>
      </c>
      <c r="F32" s="4">
        <v>3</v>
      </c>
      <c r="G32" s="5" t="s">
        <v>41</v>
      </c>
      <c r="H32" s="3" t="s">
        <v>144</v>
      </c>
      <c r="I32" s="3" t="str">
        <f>IF(H32="Yes", "Finished", IF($H$24="Yes", "Yes", "No"))</f>
        <v>No</v>
      </c>
      <c r="J32" s="3"/>
    </row>
    <row r="33" spans="1:10" x14ac:dyDescent="0.25">
      <c r="B33" s="4" t="s">
        <v>60</v>
      </c>
      <c r="C33" s="4" t="s">
        <v>67</v>
      </c>
      <c r="D33" s="4">
        <v>3</v>
      </c>
      <c r="F33" s="4">
        <v>3</v>
      </c>
      <c r="G33" s="5" t="s">
        <v>16</v>
      </c>
      <c r="H33" s="3" t="s">
        <v>144</v>
      </c>
      <c r="I33" s="3" t="str">
        <f>IF(H33="Yes", "Finished", "Yes")</f>
        <v>Yes</v>
      </c>
      <c r="J33" s="3"/>
    </row>
    <row r="34" spans="1:10" x14ac:dyDescent="0.25">
      <c r="A34" s="1" t="s">
        <v>14</v>
      </c>
      <c r="B34" s="4" t="s">
        <v>61</v>
      </c>
      <c r="C34" s="4" t="s">
        <v>68</v>
      </c>
      <c r="D34" s="4">
        <v>2</v>
      </c>
      <c r="F34" s="4">
        <v>2</v>
      </c>
      <c r="G34" s="5" t="s">
        <v>27</v>
      </c>
      <c r="H34" s="3" t="s">
        <v>144</v>
      </c>
      <c r="I34" s="3" t="str">
        <f>IF(H34="Yes", "Finished", IF($H$16="Yes", "Yes", "No"))</f>
        <v>No</v>
      </c>
      <c r="J34" s="3"/>
    </row>
    <row r="35" spans="1:10" ht="27.6" x14ac:dyDescent="0.25">
      <c r="A35" s="1" t="s">
        <v>34</v>
      </c>
      <c r="B35" s="4" t="s">
        <v>71</v>
      </c>
      <c r="C35" s="4" t="s">
        <v>72</v>
      </c>
      <c r="D35" s="4">
        <v>2</v>
      </c>
      <c r="E35" s="4">
        <v>3</v>
      </c>
      <c r="F35" s="4">
        <v>3</v>
      </c>
      <c r="G35" s="5" t="s">
        <v>87</v>
      </c>
      <c r="H35" s="3" t="s">
        <v>144</v>
      </c>
      <c r="I35" s="3" t="str">
        <f>IF(H35="Yes", "Finished", IF(AND($H$21="Yes",$H$19="Yes"), "Yes", "No"))</f>
        <v>No</v>
      </c>
      <c r="J35" s="3"/>
    </row>
    <row r="36" spans="1:10" ht="27.6" x14ac:dyDescent="0.25">
      <c r="A36" s="1" t="s">
        <v>34</v>
      </c>
      <c r="B36" s="4" t="s">
        <v>73</v>
      </c>
      <c r="C36" s="4" t="s">
        <v>80</v>
      </c>
      <c r="D36" s="4">
        <v>2</v>
      </c>
      <c r="E36" s="4">
        <v>3</v>
      </c>
      <c r="F36" s="4">
        <v>3</v>
      </c>
      <c r="G36" s="5" t="s">
        <v>88</v>
      </c>
      <c r="H36" s="3" t="s">
        <v>144</v>
      </c>
      <c r="I36" s="3" t="str">
        <f>IF(H36="Yes", "Finished", IF(AND($H$29="Yes",$H$27="Yes"), "Yes", "No"))</f>
        <v>No</v>
      </c>
      <c r="J36" s="3"/>
    </row>
    <row r="37" spans="1:10" ht="27.6" x14ac:dyDescent="0.25">
      <c r="A37" s="1" t="s">
        <v>34</v>
      </c>
      <c r="B37" s="4" t="s">
        <v>74</v>
      </c>
      <c r="C37" s="4" t="s">
        <v>81</v>
      </c>
      <c r="D37" s="4">
        <v>2</v>
      </c>
      <c r="E37" s="4">
        <v>3</v>
      </c>
      <c r="F37" s="4">
        <v>3</v>
      </c>
      <c r="G37" s="5" t="s">
        <v>89</v>
      </c>
      <c r="H37" s="3" t="s">
        <v>144</v>
      </c>
      <c r="I37" s="3" t="str">
        <f>IF(H37="Yes", "Finished", IF(AND($H$11="Yes",$H$10="Yes"), "Yes", "No"))</f>
        <v>No</v>
      </c>
      <c r="J37" s="3"/>
    </row>
    <row r="38" spans="1:10" x14ac:dyDescent="0.25">
      <c r="A38" s="1" t="s">
        <v>34</v>
      </c>
      <c r="B38" s="4" t="s">
        <v>75</v>
      </c>
      <c r="C38" s="4" t="s">
        <v>82</v>
      </c>
      <c r="D38" s="4">
        <v>3</v>
      </c>
      <c r="F38" s="4">
        <v>3</v>
      </c>
      <c r="G38" s="5" t="s">
        <v>59</v>
      </c>
      <c r="H38" s="3" t="s">
        <v>144</v>
      </c>
      <c r="I38" s="3" t="str">
        <f>IF(H38="Yes", "Finished", IF($H$32="Yes", "Yes", "No"))</f>
        <v>No</v>
      </c>
      <c r="J38" s="3"/>
    </row>
    <row r="39" spans="1:10" x14ac:dyDescent="0.25">
      <c r="A39" s="1" t="s">
        <v>34</v>
      </c>
      <c r="B39" s="4" t="s">
        <v>76</v>
      </c>
      <c r="C39" s="4" t="s">
        <v>83</v>
      </c>
      <c r="D39" s="4">
        <v>2</v>
      </c>
      <c r="E39" s="4">
        <v>3</v>
      </c>
      <c r="F39" s="4">
        <v>3</v>
      </c>
      <c r="G39" s="5" t="s">
        <v>90</v>
      </c>
      <c r="H39" s="3" t="s">
        <v>144</v>
      </c>
      <c r="I39" s="3" t="str">
        <f>IF(H39="Yes", "Finished", IF($H$29="Yes", "Yes", "No"))</f>
        <v>No</v>
      </c>
      <c r="J39" s="3"/>
    </row>
    <row r="40" spans="1:10" x14ac:dyDescent="0.25">
      <c r="B40" s="4" t="s">
        <v>77</v>
      </c>
      <c r="C40" s="4" t="s">
        <v>84</v>
      </c>
      <c r="D40" s="4">
        <v>3</v>
      </c>
      <c r="F40" s="4">
        <v>3</v>
      </c>
      <c r="G40" s="5" t="s">
        <v>16</v>
      </c>
      <c r="H40" s="3" t="s">
        <v>144</v>
      </c>
      <c r="I40" s="3" t="str">
        <f t="shared" ref="I40:I41" si="3">IF(H40="Yes", "Finished", "Yes")</f>
        <v>Yes</v>
      </c>
      <c r="J40" s="3"/>
    </row>
    <row r="41" spans="1:10" x14ac:dyDescent="0.25">
      <c r="B41" s="4" t="s">
        <v>78</v>
      </c>
      <c r="C41" s="4" t="s">
        <v>85</v>
      </c>
      <c r="D41" s="4">
        <v>3</v>
      </c>
      <c r="F41" s="4">
        <v>3</v>
      </c>
      <c r="G41" s="5" t="s">
        <v>16</v>
      </c>
      <c r="H41" s="3" t="s">
        <v>144</v>
      </c>
      <c r="I41" s="3" t="str">
        <f t="shared" si="3"/>
        <v>Yes</v>
      </c>
      <c r="J41" s="3"/>
    </row>
    <row r="42" spans="1:10" x14ac:dyDescent="0.25">
      <c r="A42" s="1" t="s">
        <v>34</v>
      </c>
      <c r="B42" s="4" t="s">
        <v>79</v>
      </c>
      <c r="C42" s="4" t="s">
        <v>86</v>
      </c>
      <c r="D42" s="4">
        <v>2</v>
      </c>
      <c r="F42" s="4">
        <v>2</v>
      </c>
      <c r="G42" s="5" t="s">
        <v>27</v>
      </c>
      <c r="H42" s="3" t="s">
        <v>144</v>
      </c>
      <c r="I42" s="3" t="str">
        <f>IF(H42="Yes", "Finished", IF($H$16="Yes", "Yes", "No"))</f>
        <v>No</v>
      </c>
      <c r="J42" s="3"/>
    </row>
    <row r="43" spans="1:10" ht="27.6" x14ac:dyDescent="0.25">
      <c r="A43" s="1" t="s">
        <v>14</v>
      </c>
      <c r="B43" s="4" t="s">
        <v>91</v>
      </c>
      <c r="C43" s="4" t="s">
        <v>98</v>
      </c>
      <c r="D43" s="4">
        <v>3</v>
      </c>
      <c r="F43" s="4">
        <v>3</v>
      </c>
      <c r="G43" s="5" t="s">
        <v>88</v>
      </c>
      <c r="H43" s="3" t="s">
        <v>144</v>
      </c>
      <c r="I43" s="3" t="str">
        <f>IF(H43="Yes", "Finished", IF(AND($H$29="Yes",$H$27="Yes"), "Yes", "No"))</f>
        <v>No</v>
      </c>
      <c r="J43" s="3"/>
    </row>
    <row r="44" spans="1:10" x14ac:dyDescent="0.25">
      <c r="A44" s="1" t="s">
        <v>14</v>
      </c>
      <c r="B44" s="4" t="s">
        <v>92</v>
      </c>
      <c r="C44" s="4" t="s">
        <v>99</v>
      </c>
      <c r="D44" s="4">
        <v>2</v>
      </c>
      <c r="E44" s="4">
        <v>3</v>
      </c>
      <c r="F44" s="4">
        <v>3</v>
      </c>
      <c r="G44" s="5" t="s">
        <v>74</v>
      </c>
      <c r="H44" s="3" t="s">
        <v>144</v>
      </c>
      <c r="I44" s="3" t="str">
        <f>IF(H44="Yes", "Finished", IF($H$37="Yes", "Yes", "No"))</f>
        <v>No</v>
      </c>
      <c r="J44" s="3"/>
    </row>
    <row r="45" spans="1:10" ht="27.6" x14ac:dyDescent="0.25">
      <c r="A45" s="1" t="s">
        <v>14</v>
      </c>
      <c r="B45" s="4" t="s">
        <v>93</v>
      </c>
      <c r="C45" s="4" t="s">
        <v>100</v>
      </c>
      <c r="D45" s="4">
        <v>2</v>
      </c>
      <c r="E45" s="4">
        <v>3</v>
      </c>
      <c r="F45" s="4">
        <v>3</v>
      </c>
      <c r="G45" s="5" t="s">
        <v>104</v>
      </c>
      <c r="H45" s="3" t="s">
        <v>144</v>
      </c>
      <c r="I45" s="3" t="str">
        <f>IF(H45="Yes", "Finished", IF(AND($H$20="Yes",$H$21="Yes"), "Yes", "No"))</f>
        <v>No</v>
      </c>
      <c r="J45" s="3"/>
    </row>
    <row r="46" spans="1:10" x14ac:dyDescent="0.25">
      <c r="A46" s="1" t="s">
        <v>14</v>
      </c>
      <c r="B46" s="4" t="s">
        <v>94</v>
      </c>
      <c r="C46" s="4" t="s">
        <v>101</v>
      </c>
      <c r="D46" s="4">
        <v>2</v>
      </c>
      <c r="E46" s="4">
        <v>3</v>
      </c>
      <c r="F46" s="4">
        <v>3</v>
      </c>
      <c r="G46" s="5" t="s">
        <v>73</v>
      </c>
      <c r="H46" s="3" t="s">
        <v>144</v>
      </c>
      <c r="I46" s="3" t="str">
        <f>IF(H46="Yes", "Finished", IF($H$36="Yes", "Yes", "No"))</f>
        <v>No</v>
      </c>
      <c r="J46" s="3"/>
    </row>
    <row r="47" spans="1:10" ht="27.6" x14ac:dyDescent="0.25">
      <c r="A47" s="1" t="s">
        <v>14</v>
      </c>
      <c r="B47" s="4" t="s">
        <v>69</v>
      </c>
      <c r="C47" s="4" t="s">
        <v>102</v>
      </c>
      <c r="D47" s="4">
        <v>2</v>
      </c>
      <c r="E47" s="4">
        <v>3</v>
      </c>
      <c r="F47" s="4">
        <v>3</v>
      </c>
      <c r="G47" s="5" t="s">
        <v>105</v>
      </c>
      <c r="H47" s="3" t="s">
        <v>144</v>
      </c>
      <c r="I47" s="3" t="str">
        <f>IF(H47="Yes", "Finished", IF(AND($H$27="Yes",$H$21="Yes"), "Yes", "No"))</f>
        <v>No</v>
      </c>
      <c r="J47" s="3"/>
    </row>
    <row r="48" spans="1:10" ht="27.6" x14ac:dyDescent="0.25">
      <c r="A48" s="1" t="s">
        <v>14</v>
      </c>
      <c r="B48" s="4" t="s">
        <v>95</v>
      </c>
      <c r="C48" s="4" t="s">
        <v>103</v>
      </c>
      <c r="D48" s="4">
        <v>2</v>
      </c>
      <c r="E48" s="4">
        <v>3</v>
      </c>
      <c r="F48" s="4">
        <v>3</v>
      </c>
      <c r="G48" s="5" t="s">
        <v>106</v>
      </c>
      <c r="H48" s="3" t="s">
        <v>144</v>
      </c>
      <c r="I48" s="3" t="str">
        <f>IF(H48="Yes", "Finished", IF(AND($H$30="Yes",$H$21="Yes"), "Yes", "No"))</f>
        <v>No</v>
      </c>
      <c r="J48" s="3"/>
    </row>
    <row r="49" spans="1:10" x14ac:dyDescent="0.25">
      <c r="B49" s="4" t="s">
        <v>96</v>
      </c>
      <c r="C49" s="4" t="s">
        <v>97</v>
      </c>
      <c r="D49" s="4">
        <v>3</v>
      </c>
      <c r="F49" s="4">
        <v>3</v>
      </c>
      <c r="G49" s="5" t="s">
        <v>16</v>
      </c>
      <c r="H49" s="3" t="s">
        <v>144</v>
      </c>
      <c r="I49" s="3" t="str">
        <f>IF(H49="Yes", "Finished", "Yes")</f>
        <v>Yes</v>
      </c>
      <c r="J49" s="3"/>
    </row>
    <row r="50" spans="1:10" x14ac:dyDescent="0.25">
      <c r="A50" s="1" t="s">
        <v>34</v>
      </c>
      <c r="B50" s="4" t="s">
        <v>107</v>
      </c>
      <c r="C50" s="4" t="s">
        <v>114</v>
      </c>
      <c r="D50" s="4">
        <v>2</v>
      </c>
      <c r="E50" s="4">
        <v>3</v>
      </c>
      <c r="F50" s="4">
        <v>3</v>
      </c>
      <c r="G50" s="5" t="s">
        <v>91</v>
      </c>
      <c r="H50" s="3" t="s">
        <v>144</v>
      </c>
      <c r="I50" s="3" t="str">
        <f>IF(H50="Yes", "Finished", IF($H$43="Yes", "Yes", "No"))</f>
        <v>No</v>
      </c>
      <c r="J50" s="3"/>
    </row>
    <row r="51" spans="1:10" x14ac:dyDescent="0.25">
      <c r="A51" s="1" t="s">
        <v>34</v>
      </c>
      <c r="B51" s="4" t="s">
        <v>108</v>
      </c>
      <c r="C51" s="4" t="s">
        <v>115</v>
      </c>
      <c r="D51" s="4">
        <v>2</v>
      </c>
      <c r="E51" s="4">
        <v>3</v>
      </c>
      <c r="F51" s="4">
        <v>3</v>
      </c>
      <c r="G51" s="5" t="s">
        <v>93</v>
      </c>
      <c r="H51" s="3" t="s">
        <v>144</v>
      </c>
      <c r="I51" s="3" t="str">
        <f>IF(H51="Yes", "Finished", IF($H$45="Yes", "Yes", "No"))</f>
        <v>No</v>
      </c>
      <c r="J51" s="3"/>
    </row>
    <row r="52" spans="1:10" ht="27.6" x14ac:dyDescent="0.25">
      <c r="A52" s="1" t="s">
        <v>34</v>
      </c>
      <c r="B52" s="4" t="s">
        <v>109</v>
      </c>
      <c r="C52" s="4" t="s">
        <v>116</v>
      </c>
      <c r="D52" s="4">
        <v>2</v>
      </c>
      <c r="E52" s="4">
        <v>3</v>
      </c>
      <c r="F52" s="4">
        <v>3</v>
      </c>
      <c r="G52" s="5" t="s">
        <v>121</v>
      </c>
      <c r="H52" s="3" t="s">
        <v>144</v>
      </c>
      <c r="I52" s="3" t="str">
        <f>IF(H52="Yes", "Finished", IF(AND($H$21="Yes",$H$38="Yes"), "Yes", "No"))</f>
        <v>No</v>
      </c>
      <c r="J52" s="3"/>
    </row>
    <row r="53" spans="1:10" x14ac:dyDescent="0.25">
      <c r="A53" s="1" t="s">
        <v>34</v>
      </c>
      <c r="B53" s="4" t="s">
        <v>110</v>
      </c>
      <c r="C53" s="4" t="s">
        <v>117</v>
      </c>
      <c r="D53" s="4">
        <v>2</v>
      </c>
      <c r="E53" s="4">
        <v>3</v>
      </c>
      <c r="F53" s="4">
        <v>3</v>
      </c>
      <c r="G53" s="5" t="s">
        <v>92</v>
      </c>
      <c r="H53" s="3" t="s">
        <v>144</v>
      </c>
      <c r="I53" s="3" t="str">
        <f>IF(H53="Yes", "Finished", IF($H$44="Yes", "Yes", "No"))</f>
        <v>No</v>
      </c>
      <c r="J53" s="3"/>
    </row>
    <row r="54" spans="1:10" ht="27.6" x14ac:dyDescent="0.25">
      <c r="A54" s="1" t="s">
        <v>34</v>
      </c>
      <c r="B54" s="4" t="s">
        <v>111</v>
      </c>
      <c r="C54" s="4" t="s">
        <v>118</v>
      </c>
      <c r="D54" s="4">
        <v>2</v>
      </c>
      <c r="E54" s="4">
        <v>3</v>
      </c>
      <c r="F54" s="4">
        <v>3</v>
      </c>
      <c r="G54" s="5" t="s">
        <v>122</v>
      </c>
      <c r="H54" s="3" t="s">
        <v>144</v>
      </c>
      <c r="I54" s="3" t="str">
        <f>IF(H54="Yes", "Finished", IF(AND($H$20="Yes",$H$19="Yes"), "Yes", "No"))</f>
        <v>No</v>
      </c>
      <c r="J54" s="3"/>
    </row>
    <row r="55" spans="1:10" x14ac:dyDescent="0.25">
      <c r="A55" s="1" t="s">
        <v>34</v>
      </c>
      <c r="B55" s="4" t="s">
        <v>112</v>
      </c>
      <c r="C55" s="4" t="s">
        <v>119</v>
      </c>
      <c r="D55" s="4">
        <v>3</v>
      </c>
      <c r="F55" s="4">
        <v>3</v>
      </c>
      <c r="G55" s="5" t="s">
        <v>93</v>
      </c>
      <c r="H55" s="3" t="s">
        <v>144</v>
      </c>
      <c r="I55" s="3" t="str">
        <f>IF(H55="Yes", "Finished", IF($H$45="Yes", "Yes", "No"))</f>
        <v>No</v>
      </c>
      <c r="J55" s="3"/>
    </row>
    <row r="56" spans="1:10" ht="27.6" x14ac:dyDescent="0.25">
      <c r="A56" s="1" t="s">
        <v>34</v>
      </c>
      <c r="B56" s="4" t="s">
        <v>113</v>
      </c>
      <c r="C56" s="4" t="s">
        <v>120</v>
      </c>
      <c r="D56" s="4">
        <v>3</v>
      </c>
      <c r="F56" s="4">
        <v>3</v>
      </c>
      <c r="G56" s="5" t="s">
        <v>142</v>
      </c>
      <c r="H56" s="3" t="s">
        <v>144</v>
      </c>
      <c r="I56" s="3" t="str">
        <f>IF(H56="Yes", "Finished", IF($I$53="Yes", "Yes", "No"))</f>
        <v>No</v>
      </c>
      <c r="J56" s="3"/>
    </row>
    <row r="57" spans="1:10" x14ac:dyDescent="0.25">
      <c r="A57" s="1" t="s">
        <v>123</v>
      </c>
      <c r="B57" s="4" t="s">
        <v>124</v>
      </c>
      <c r="C57" s="4" t="s">
        <v>125</v>
      </c>
      <c r="E57" s="4">
        <v>162</v>
      </c>
      <c r="F57" s="4">
        <v>3</v>
      </c>
      <c r="G57" s="5" t="s">
        <v>112</v>
      </c>
      <c r="H57" s="3" t="s">
        <v>144</v>
      </c>
      <c r="I57" s="3" t="str">
        <f>IF(H57="Yes", "Finished", IF(COUNTIF(I9:I56, "Finished")=COUNTA(I9:I56), "Yes", "No"))</f>
        <v>No</v>
      </c>
      <c r="J57" s="3"/>
    </row>
    <row r="58" spans="1:10" x14ac:dyDescent="0.25">
      <c r="A58" s="1" t="s">
        <v>14</v>
      </c>
      <c r="B58" s="4" t="s">
        <v>126</v>
      </c>
      <c r="C58" s="4" t="s">
        <v>131</v>
      </c>
      <c r="D58" s="4">
        <v>3</v>
      </c>
      <c r="F58" s="4">
        <v>3</v>
      </c>
      <c r="G58" s="5" t="s">
        <v>108</v>
      </c>
      <c r="H58" s="3" t="s">
        <v>144</v>
      </c>
      <c r="I58" s="3" t="str">
        <f>IF(H58="Yes", "Finished", IF($H$51="Yes", "Yes", "No"))</f>
        <v>No</v>
      </c>
      <c r="J58" s="3"/>
    </row>
    <row r="59" spans="1:10" x14ac:dyDescent="0.25">
      <c r="A59" s="1" t="s">
        <v>14</v>
      </c>
      <c r="B59" s="4" t="s">
        <v>127</v>
      </c>
      <c r="C59" s="4" t="s">
        <v>132</v>
      </c>
      <c r="F59" s="4">
        <v>2</v>
      </c>
      <c r="G59" s="5" t="s">
        <v>16</v>
      </c>
      <c r="H59" s="3" t="s">
        <v>144</v>
      </c>
      <c r="I59" s="3"/>
      <c r="J59" s="3"/>
    </row>
    <row r="60" spans="1:10" x14ac:dyDescent="0.25">
      <c r="A60" s="1" t="s">
        <v>14</v>
      </c>
      <c r="B60" s="4" t="s">
        <v>128</v>
      </c>
      <c r="C60" s="4" t="s">
        <v>133</v>
      </c>
      <c r="D60" s="4">
        <v>2</v>
      </c>
      <c r="E60" s="4">
        <v>3</v>
      </c>
      <c r="F60" s="4">
        <v>3</v>
      </c>
      <c r="G60" s="5" t="s">
        <v>90</v>
      </c>
      <c r="H60" s="3" t="s">
        <v>144</v>
      </c>
      <c r="I60" s="3" t="str">
        <f>IF(H60="Yes", "Finished", IF($H$29="Yes", "Yes", "No"))</f>
        <v>No</v>
      </c>
      <c r="J60" s="3"/>
    </row>
    <row r="61" spans="1:10" x14ac:dyDescent="0.25">
      <c r="A61" s="1" t="s">
        <v>14</v>
      </c>
      <c r="B61" s="4" t="s">
        <v>129</v>
      </c>
      <c r="C61" s="4" t="s">
        <v>134</v>
      </c>
      <c r="D61" s="4">
        <v>2</v>
      </c>
      <c r="E61" s="4">
        <v>3</v>
      </c>
      <c r="F61" s="4">
        <v>3</v>
      </c>
      <c r="G61" s="5" t="s">
        <v>110</v>
      </c>
      <c r="H61" s="3" t="s">
        <v>144</v>
      </c>
      <c r="I61" s="3" t="str">
        <f>IF(H61="Yes", "Finished", IF($H$53="Yes", "Yes", "No"))</f>
        <v>No</v>
      </c>
      <c r="J61" s="3"/>
    </row>
    <row r="62" spans="1:10" x14ac:dyDescent="0.25">
      <c r="A62" s="1" t="s">
        <v>14</v>
      </c>
      <c r="B62" s="4" t="s">
        <v>130</v>
      </c>
      <c r="C62" s="4" t="s">
        <v>135</v>
      </c>
      <c r="D62" s="4">
        <v>2</v>
      </c>
      <c r="E62" s="4">
        <v>3</v>
      </c>
      <c r="F62" s="4">
        <v>3</v>
      </c>
      <c r="G62" s="5" t="s">
        <v>90</v>
      </c>
      <c r="H62" s="3" t="s">
        <v>144</v>
      </c>
      <c r="I62" s="3" t="str">
        <f>IF(H62="Yes", "Finished", IF($H$29="Yes", "Yes", "No"))</f>
        <v>No</v>
      </c>
      <c r="J62" s="3"/>
    </row>
    <row r="63" spans="1:10" x14ac:dyDescent="0.25">
      <c r="A63" s="1" t="s">
        <v>34</v>
      </c>
      <c r="B63" s="4" t="s">
        <v>127</v>
      </c>
      <c r="C63" s="4" t="s">
        <v>132</v>
      </c>
      <c r="F63" s="4">
        <v>4</v>
      </c>
      <c r="G63" s="5" t="s">
        <v>16</v>
      </c>
      <c r="H63" s="3" t="s">
        <v>144</v>
      </c>
      <c r="I63" s="3"/>
      <c r="J63" s="3"/>
    </row>
    <row r="64" spans="1:10" x14ac:dyDescent="0.25">
      <c r="B64" s="4" t="s">
        <v>136</v>
      </c>
      <c r="C64" s="4" t="s">
        <v>141</v>
      </c>
      <c r="D64" s="4">
        <v>3</v>
      </c>
      <c r="F64" s="4">
        <v>3</v>
      </c>
      <c r="G64" s="5" t="s">
        <v>16</v>
      </c>
      <c r="H64" s="3" t="s">
        <v>144</v>
      </c>
      <c r="I64" s="3" t="str">
        <f t="shared" ref="I64:I65" si="4">IF(H64="Yes", "Finished", "Yes")</f>
        <v>Yes</v>
      </c>
      <c r="J64" s="3"/>
    </row>
    <row r="65" spans="1:10" x14ac:dyDescent="0.25">
      <c r="B65" s="4" t="s">
        <v>137</v>
      </c>
      <c r="C65" s="4" t="s">
        <v>140</v>
      </c>
      <c r="D65" s="4">
        <v>3</v>
      </c>
      <c r="F65" s="4">
        <v>3</v>
      </c>
      <c r="G65" s="5" t="s">
        <v>16</v>
      </c>
      <c r="H65" s="3" t="s">
        <v>144</v>
      </c>
      <c r="I65" s="3" t="str">
        <f t="shared" si="4"/>
        <v>Yes</v>
      </c>
      <c r="J65" s="3"/>
    </row>
    <row r="66" spans="1:10" x14ac:dyDescent="0.25">
      <c r="A66" s="1" t="s">
        <v>34</v>
      </c>
      <c r="B66" s="4" t="s">
        <v>138</v>
      </c>
      <c r="C66" s="4" t="s">
        <v>139</v>
      </c>
      <c r="D66" s="4">
        <v>1</v>
      </c>
      <c r="F66" s="4">
        <v>1</v>
      </c>
      <c r="G66" s="5" t="s">
        <v>16</v>
      </c>
      <c r="H66" s="3" t="s">
        <v>144</v>
      </c>
      <c r="I66" s="3"/>
      <c r="J66" s="3"/>
    </row>
    <row r="67" spans="1:10" x14ac:dyDescent="0.25">
      <c r="E67" s="9" t="s">
        <v>149</v>
      </c>
      <c r="F67" s="6">
        <f>SUMIFS(F9:F66,I9:I66,"Finished")</f>
        <v>0</v>
      </c>
    </row>
    <row r="68" spans="1:10" x14ac:dyDescent="0.25">
      <c r="E68" s="9" t="s">
        <v>150</v>
      </c>
      <c r="F68" s="4" t="str">
        <f>VLOOKUP(F67,$A$70:$B$74, 2)</f>
        <v>1st year</v>
      </c>
    </row>
    <row r="69" spans="1:10" x14ac:dyDescent="0.25">
      <c r="A69" s="10" t="s">
        <v>8</v>
      </c>
      <c r="B69" s="11" t="s">
        <v>150</v>
      </c>
    </row>
    <row r="70" spans="1:10" x14ac:dyDescent="0.25">
      <c r="A70" s="1">
        <v>0</v>
      </c>
      <c r="B70" s="4" t="s">
        <v>151</v>
      </c>
    </row>
    <row r="71" spans="1:10" x14ac:dyDescent="0.25">
      <c r="A71" s="1">
        <v>52</v>
      </c>
      <c r="B71" s="4" t="s">
        <v>152</v>
      </c>
    </row>
    <row r="72" spans="1:10" x14ac:dyDescent="0.25">
      <c r="A72" s="1">
        <v>98</v>
      </c>
      <c r="B72" s="4" t="s">
        <v>153</v>
      </c>
    </row>
    <row r="73" spans="1:10" x14ac:dyDescent="0.25">
      <c r="A73" s="1">
        <v>140</v>
      </c>
      <c r="B73" s="4" t="s">
        <v>154</v>
      </c>
    </row>
    <row r="74" spans="1:10" x14ac:dyDescent="0.25">
      <c r="A74" s="1">
        <v>168</v>
      </c>
      <c r="B74" s="4" t="s">
        <v>155</v>
      </c>
    </row>
  </sheetData>
  <autoFilter ref="A8:K74" xr:uid="{00000000-0009-0000-0000-000000000000}"/>
  <mergeCells count="1">
    <mergeCell ref="D7:E7"/>
  </mergeCells>
  <conditionalFormatting sqref="H9:J66">
    <cfRule type="containsText" dxfId="2" priority="1" operator="containsText" text="Finished">
      <formula>NOT(ISERROR(SEARCH("Finished",H9)))</formula>
    </cfRule>
    <cfRule type="containsText" dxfId="1" priority="2" operator="containsText" text="Yes">
      <formula>NOT(ISERROR(SEARCH("Yes",H9)))</formula>
    </cfRule>
    <cfRule type="containsText" dxfId="0" priority="3" operator="containsText" text="No">
      <formula>NOT(ISERROR(SEARCH("No",H9)))</formula>
    </cfRule>
  </conditionalFormatting>
  <dataValidations count="2">
    <dataValidation type="list" allowBlank="1" showInputMessage="1" showErrorMessage="1" sqref="J9:J66" xr:uid="{00000000-0002-0000-0000-000000000000}">
      <formula1>$O$3:$O$4</formula1>
    </dataValidation>
    <dataValidation type="list" showInputMessage="1" showErrorMessage="1" sqref="H9:H66" xr:uid="{D7F4CF6E-F7FF-4061-92E5-7CEB99C1EE77}">
      <formula1>$O$3:$O$4</formula1>
    </dataValidation>
  </dataValidations>
  <pageMargins left="0.7" right="0.7" top="0.75" bottom="0.75" header="0.3" footer="0.3"/>
  <pageSetup orientation="portrait" r:id="rId1"/>
  <ignoredErrors>
    <ignoredError sqref="I25 I32 I36 I6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InfinityWeaver</dc:creator>
  <cp:lastModifiedBy>InfinityWeaver</cp:lastModifiedBy>
  <dcterms:created xsi:type="dcterms:W3CDTF">2022-08-30T00:39:09Z</dcterms:created>
  <dcterms:modified xsi:type="dcterms:W3CDTF">2023-07-23T14:36:37Z</dcterms:modified>
</cp:coreProperties>
</file>